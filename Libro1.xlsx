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ur\Downloads\"/>
    </mc:Choice>
  </mc:AlternateContent>
  <xr:revisionPtr revIDLastSave="0" documentId="8_{B7AD7B0E-32D8-43E0-9BAB-17B4E0AAD6D8}" xr6:coauthVersionLast="47" xr6:coauthVersionMax="47" xr10:uidLastSave="{00000000-0000-0000-0000-000000000000}"/>
  <bookViews>
    <workbookView xWindow="28680" yWindow="-120" windowWidth="29040" windowHeight="15720" activeTab="1" xr2:uid="{91893823-09B1-45BF-B334-EEE7F4E1D62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" i="2" l="1"/>
  <c r="K5" i="2"/>
  <c r="K3" i="2"/>
  <c r="J4" i="2"/>
  <c r="J5" i="2"/>
  <c r="J3" i="2"/>
  <c r="I4" i="2"/>
  <c r="I5" i="2"/>
  <c r="I3" i="2"/>
  <c r="H4" i="2"/>
  <c r="H5" i="2"/>
  <c r="H3" i="2"/>
  <c r="I10" i="1"/>
  <c r="H10" i="1"/>
  <c r="I4" i="1"/>
  <c r="H9" i="1"/>
  <c r="I9" i="1"/>
  <c r="H8" i="1"/>
  <c r="I8" i="1"/>
  <c r="H7" i="1"/>
  <c r="I5" i="1"/>
  <c r="I6" i="1"/>
  <c r="I7" i="1"/>
  <c r="H5" i="1"/>
  <c r="H6" i="1"/>
  <c r="H4" i="1"/>
</calcChain>
</file>

<file path=xl/sharedStrings.xml><?xml version="1.0" encoding="utf-8"?>
<sst xmlns="http://schemas.openxmlformats.org/spreadsheetml/2006/main" count="20" uniqueCount="20">
  <si>
    <t>angulo</t>
  </si>
  <si>
    <t>SIN</t>
  </si>
  <si>
    <t>D1</t>
  </si>
  <si>
    <t>D2</t>
  </si>
  <si>
    <t>D3</t>
  </si>
  <si>
    <t>D4</t>
  </si>
  <si>
    <t>D5</t>
  </si>
  <si>
    <t>DPROM</t>
  </si>
  <si>
    <t>𝜎</t>
  </si>
  <si>
    <t xml:space="preserve">Potencia Lanzador </t>
  </si>
  <si>
    <t xml:space="preserve">t₁ (s) </t>
  </si>
  <si>
    <t xml:space="preserve">t₂ (s) </t>
  </si>
  <si>
    <t xml:space="preserve">t₃ (s) </t>
  </si>
  <si>
    <t xml:space="preserve">v₁ (m/s) </t>
  </si>
  <si>
    <t xml:space="preserve">v₂ (m/s) </t>
  </si>
  <si>
    <t xml:space="preserve">v₃ (m/s) </t>
  </si>
  <si>
    <t>t Prom (s)</t>
  </si>
  <si>
    <t>vProm (m/s)</t>
  </si>
  <si>
    <t>𝜎v (m/s)</t>
  </si>
  <si>
    <t>𝜎 t(s)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</si>
</sst>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Hoja1!$H$3</c:f>
              <c:strCache>
                <c:ptCount val="1"/>
                <c:pt idx="0">
                  <c:v>DPROM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Hoja1!$B$4:$B$10</c:f>
              <c:numCache>
                <c:formatCode>General</c:formatCode>
                <c:ptCount val="7"/>
                <c:pt idx="0">
                  <c:v>0.64300000000000002</c:v>
                </c:pt>
                <c:pt idx="1">
                  <c:v>0.86599999999999999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0.86599999999999999</c:v>
                </c:pt>
                <c:pt idx="5">
                  <c:v>0.64300000000000002</c:v>
                </c:pt>
                <c:pt idx="6">
                  <c:v>0.34200000000000003</c:v>
                </c:pt>
              </c:numCache>
            </c:numRef>
          </c:xVal>
          <c:yVal>
            <c:numRef>
              <c:f>Hoja1!$H$4:$H$10</c:f>
              <c:numCache>
                <c:formatCode>0.00</c:formatCode>
                <c:ptCount val="7"/>
                <c:pt idx="0">
                  <c:v>0.66720000000000002</c:v>
                </c:pt>
                <c:pt idx="1">
                  <c:v>0.84019999999999995</c:v>
                </c:pt>
                <c:pt idx="2">
                  <c:v>0.91320000000000012</c:v>
                </c:pt>
                <c:pt idx="3">
                  <c:v>0.91980000000000006</c:v>
                </c:pt>
                <c:pt idx="4">
                  <c:v>0.76880000000000004</c:v>
                </c:pt>
                <c:pt idx="5">
                  <c:v>0.5716</c:v>
                </c:pt>
                <c:pt idx="6">
                  <c:v>0.33280000000000004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CB-4834-83E2-F48A97565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971359"/>
        <c:axId val="2095971839"/>
      </c:scatterChart>
      <c:valAx>
        <c:axId val="209597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5971839"/>
        <c:crosses val="autoZero"/>
        <c:crossBetween val="midCat"/>
      </c:valAx>
      <c:valAx>
        <c:axId val="209597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597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57150</xdr:colOff>
      <xdr:row>16</xdr:row>
      <xdr:rowOff>33337</xdr:rowOff>
    </xdr:from>
    <xdr:ext cx="112338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4D46EF78-ECAD-56CB-DB8F-FBB11AACC734}"/>
                </a:ext>
              </a:extLst>
            </xdr:cNvPr>
            <xdr:cNvSpPr txBox="1"/>
          </xdr:nvSpPr>
          <xdr:spPr>
            <a:xfrm>
              <a:off x="8458200" y="3081337"/>
              <a:ext cx="1123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𝜎</m:t>
                    </m:r>
                  </m:oMath>
                </m:oMathPara>
              </a14:m>
              <a:endParaRPr lang="es-CO" sz="1100"/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4D46EF78-ECAD-56CB-DB8F-FBB11AACC734}"/>
                </a:ext>
              </a:extLst>
            </xdr:cNvPr>
            <xdr:cNvSpPr txBox="1"/>
          </xdr:nvSpPr>
          <xdr:spPr>
            <a:xfrm>
              <a:off x="8458200" y="3081337"/>
              <a:ext cx="1123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endParaRPr lang="es-CO" sz="1100"/>
            </a:p>
          </xdr:txBody>
        </xdr:sp>
      </mc:Fallback>
    </mc:AlternateContent>
    <xdr:clientData/>
  </xdr:oneCellAnchor>
  <xdr:twoCellAnchor>
    <xdr:from>
      <xdr:col>9</xdr:col>
      <xdr:colOff>233362</xdr:colOff>
      <xdr:row>1</xdr:row>
      <xdr:rowOff>157162</xdr:rowOff>
    </xdr:from>
    <xdr:to>
      <xdr:col>15</xdr:col>
      <xdr:colOff>233362</xdr:colOff>
      <xdr:row>16</xdr:row>
      <xdr:rowOff>42862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13CFF5F-4B2F-1611-DB20-ED41CD580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290512</xdr:colOff>
      <xdr:row>16</xdr:row>
      <xdr:rowOff>33337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02807F9-A3C5-5830-EA76-7C4C0DFBC03A}"/>
            </a:ext>
          </a:extLst>
        </xdr:cNvPr>
        <xdr:cNvSpPr txBox="1"/>
      </xdr:nvSpPr>
      <xdr:spPr>
        <a:xfrm>
          <a:off x="7100887" y="3081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B397-729B-4844-B991-2EA76E073893}">
  <dimension ref="A3:I10"/>
  <sheetViews>
    <sheetView workbookViewId="0">
      <selection activeCell="E23" sqref="E23"/>
    </sheetView>
  </sheetViews>
  <sheetFormatPr baseColWidth="10" defaultRowHeight="15" x14ac:dyDescent="0.25"/>
  <cols>
    <col min="8" max="8" width="11.7109375" bestFit="1" customWidth="1"/>
  </cols>
  <sheetData>
    <row r="3" spans="1:9" x14ac:dyDescent="0.25">
      <c r="A3" s="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25">
      <c r="A4">
        <v>20</v>
      </c>
      <c r="B4">
        <v>0.64300000000000002</v>
      </c>
      <c r="C4">
        <v>0.66</v>
      </c>
      <c r="D4">
        <v>0.66400000000000003</v>
      </c>
      <c r="E4">
        <v>0.67</v>
      </c>
      <c r="F4">
        <v>0.66700000000000004</v>
      </c>
      <c r="G4">
        <v>0.67500000000000004</v>
      </c>
      <c r="H4" s="1">
        <f>AVERAGE(C4:G4)</f>
        <v>0.66720000000000002</v>
      </c>
      <c r="I4" s="2">
        <f>_xlfn.STDEV.S(C4:G4)</f>
        <v>5.7183913821983248E-3</v>
      </c>
    </row>
    <row r="5" spans="1:9" x14ac:dyDescent="0.25">
      <c r="A5">
        <v>30</v>
      </c>
      <c r="B5">
        <v>0.86599999999999999</v>
      </c>
      <c r="C5">
        <v>0.83</v>
      </c>
      <c r="D5">
        <v>0.83699999999999997</v>
      </c>
      <c r="E5">
        <v>0.84399999999999997</v>
      </c>
      <c r="F5">
        <v>0.84499999999999997</v>
      </c>
      <c r="G5">
        <v>0.84499999999999997</v>
      </c>
      <c r="H5" s="1">
        <f>AVERAGE(C5:G5)</f>
        <v>0.84019999999999995</v>
      </c>
      <c r="I5" s="2">
        <f t="shared" ref="I5:I10" si="0">_xlfn.STDEV.S(C5:G5)</f>
        <v>6.6105975524153706E-3</v>
      </c>
    </row>
    <row r="6" spans="1:9" x14ac:dyDescent="0.25">
      <c r="A6">
        <v>40</v>
      </c>
      <c r="B6">
        <v>0.98499999999999999</v>
      </c>
      <c r="C6">
        <v>0.91</v>
      </c>
      <c r="D6">
        <v>0.91200000000000003</v>
      </c>
      <c r="E6">
        <v>0.91400000000000003</v>
      </c>
      <c r="F6">
        <v>0.91900000000000004</v>
      </c>
      <c r="G6">
        <v>0.91100000000000003</v>
      </c>
      <c r="H6" s="1">
        <f>AVERAGE(C6:G6)</f>
        <v>0.91320000000000012</v>
      </c>
      <c r="I6" s="2">
        <f t="shared" si="0"/>
        <v>3.5637059362410954E-3</v>
      </c>
    </row>
    <row r="7" spans="1:9" x14ac:dyDescent="0.25">
      <c r="A7">
        <v>50</v>
      </c>
      <c r="B7">
        <v>0.98499999999999999</v>
      </c>
      <c r="C7">
        <v>0.91600000000000004</v>
      </c>
      <c r="D7">
        <v>0.91900000000000004</v>
      </c>
      <c r="E7">
        <v>0.92</v>
      </c>
      <c r="F7">
        <v>0.92400000000000004</v>
      </c>
      <c r="G7">
        <v>0.92</v>
      </c>
      <c r="H7" s="1">
        <f>AVERAGE(C7:G7)</f>
        <v>0.91980000000000006</v>
      </c>
      <c r="I7" s="2">
        <f t="shared" si="0"/>
        <v>2.863564212655273E-3</v>
      </c>
    </row>
    <row r="8" spans="1:9" x14ac:dyDescent="0.25">
      <c r="A8">
        <v>60</v>
      </c>
      <c r="B8">
        <v>0.86599999999999999</v>
      </c>
      <c r="C8">
        <v>0.76400000000000001</v>
      </c>
      <c r="D8">
        <v>0.77</v>
      </c>
      <c r="E8">
        <v>0.77</v>
      </c>
      <c r="F8">
        <v>0.77</v>
      </c>
      <c r="G8">
        <v>0.77</v>
      </c>
      <c r="H8" s="1">
        <f>AVERAGE(C8:G8)</f>
        <v>0.76880000000000004</v>
      </c>
      <c r="I8" s="2">
        <f t="shared" si="0"/>
        <v>2.6832815729997501E-3</v>
      </c>
    </row>
    <row r="9" spans="1:9" x14ac:dyDescent="0.25">
      <c r="A9">
        <v>70</v>
      </c>
      <c r="B9">
        <v>0.64300000000000002</v>
      </c>
      <c r="C9">
        <v>0.56000000000000005</v>
      </c>
      <c r="D9">
        <v>0.56200000000000006</v>
      </c>
      <c r="E9">
        <v>0.57299999999999995</v>
      </c>
      <c r="F9">
        <v>0.57899999999999996</v>
      </c>
      <c r="G9">
        <v>0.58399999999999996</v>
      </c>
      <c r="H9" s="1">
        <f>AVERAGE(C9:G9)</f>
        <v>0.5716</v>
      </c>
      <c r="I9" s="2">
        <f t="shared" si="0"/>
        <v>1.0454664030948054E-2</v>
      </c>
    </row>
    <row r="10" spans="1:9" x14ac:dyDescent="0.25">
      <c r="A10">
        <v>80</v>
      </c>
      <c r="B10">
        <v>0.34200000000000003</v>
      </c>
      <c r="C10">
        <v>0.33</v>
      </c>
      <c r="D10">
        <v>0.33100000000000002</v>
      </c>
      <c r="E10">
        <v>0.33200000000000002</v>
      </c>
      <c r="F10">
        <v>0.33700000000000002</v>
      </c>
      <c r="G10">
        <v>0.33400000000000002</v>
      </c>
      <c r="H10" s="1">
        <f>AVERAGE(C10:G10)</f>
        <v>0.33280000000000004</v>
      </c>
      <c r="I10" s="2">
        <f>_xlfn.STDEV.S(C10:G10)</f>
        <v>2.7748873851023243E-3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D1F9-9C1F-43A2-9B66-722F349C9A06}">
  <dimension ref="A2:K5"/>
  <sheetViews>
    <sheetView tabSelected="1" workbookViewId="0">
      <selection activeCell="B9" sqref="B9"/>
    </sheetView>
  </sheetViews>
  <sheetFormatPr baseColWidth="10" defaultRowHeight="15" x14ac:dyDescent="0.25"/>
  <cols>
    <col min="1" max="1" width="18.7109375" customWidth="1"/>
  </cols>
  <sheetData>
    <row r="2" spans="1:11" ht="14.25" customHeight="1" x14ac:dyDescent="0.25">
      <c r="A2" s="4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19</v>
      </c>
      <c r="K2" t="s">
        <v>18</v>
      </c>
    </row>
    <row r="3" spans="1:11" x14ac:dyDescent="0.25">
      <c r="A3">
        <v>1</v>
      </c>
      <c r="B3">
        <v>0.31</v>
      </c>
      <c r="C3">
        <v>0.31</v>
      </c>
      <c r="D3">
        <v>0.31</v>
      </c>
      <c r="E3">
        <v>3.06</v>
      </c>
      <c r="F3">
        <v>3.06</v>
      </c>
      <c r="G3">
        <v>3.06</v>
      </c>
      <c r="H3">
        <f>AVERAGE(B3:D3)</f>
        <v>0.31</v>
      </c>
      <c r="I3" s="1">
        <f>AVERAGE(E3:G3)</f>
        <v>3.06</v>
      </c>
      <c r="J3" s="2">
        <f>_xlfn.STDEV.S(B3:D3)</f>
        <v>0</v>
      </c>
      <c r="K3" s="2">
        <f>_xlfn.STDEV.S(E3:G3)</f>
        <v>0</v>
      </c>
    </row>
    <row r="4" spans="1:11" x14ac:dyDescent="0.25">
      <c r="A4">
        <v>2</v>
      </c>
      <c r="B4">
        <v>0.3</v>
      </c>
      <c r="C4">
        <v>0.3</v>
      </c>
      <c r="D4">
        <v>0.3</v>
      </c>
      <c r="E4">
        <v>3.98</v>
      </c>
      <c r="F4">
        <v>4.0199999999999996</v>
      </c>
      <c r="G4">
        <v>4.01</v>
      </c>
      <c r="H4">
        <f t="shared" ref="H4:H5" si="0">AVERAGE(B4:D4)</f>
        <v>0.3</v>
      </c>
      <c r="I4" s="1">
        <f t="shared" ref="I4:I5" si="1">AVERAGE(E4:G4)</f>
        <v>4.003333333333333</v>
      </c>
      <c r="J4" s="2">
        <f t="shared" ref="J4:J5" si="2">_xlfn.STDEV.S(B4:D4)</f>
        <v>0</v>
      </c>
      <c r="K4" s="2">
        <f t="shared" ref="K4:K5" si="3">_xlfn.STDEV.S(E4:G4)</f>
        <v>2.0816659994661132E-2</v>
      </c>
    </row>
    <row r="5" spans="1:11" x14ac:dyDescent="0.25">
      <c r="A5">
        <v>3</v>
      </c>
      <c r="B5">
        <v>0.32</v>
      </c>
      <c r="C5">
        <v>0.32</v>
      </c>
      <c r="D5">
        <v>0.32</v>
      </c>
      <c r="E5">
        <v>5.38</v>
      </c>
      <c r="F5">
        <v>5.39</v>
      </c>
      <c r="G5">
        <v>5.32</v>
      </c>
      <c r="H5">
        <f t="shared" si="0"/>
        <v>0.32</v>
      </c>
      <c r="I5" s="1">
        <f t="shared" si="1"/>
        <v>5.3633333333333333</v>
      </c>
      <c r="J5" s="2">
        <f t="shared" si="2"/>
        <v>0</v>
      </c>
      <c r="K5" s="2">
        <f t="shared" si="3"/>
        <v>3.7859388972001529E-2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Prestamo Estudiantes</dc:creator>
  <cp:lastModifiedBy>Prestamo Estudiantes</cp:lastModifiedBy>
  <dcterms:created xsi:type="dcterms:W3CDTF">2026-08-18T12:47:15Z</dcterms:created>
  <dcterms:modified xsi:type="dcterms:W3CDTF">2026-08-18T13:53:39Z</dcterms:modified>
</cp:coreProperties>
</file>